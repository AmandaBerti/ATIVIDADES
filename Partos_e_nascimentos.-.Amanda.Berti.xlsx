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BA6CB5FA-E8C1-4777-A570-BDBCFC10DFFA}" xr6:coauthVersionLast="36" xr6:coauthVersionMax="36" xr10:uidLastSave="{00000000-0000-0000-0000-000000000000}"/>
  <bookViews>
    <workbookView xWindow="0" yWindow="0" windowWidth="28800" windowHeight="12105" activeTab="1"/>
  </bookViews>
  <sheets>
    <sheet name="2025_04-partos_e_nascimentos_4t" sheetId="1" r:id="rId1"/>
    <sheet name="Planilha1" sheetId="2" r:id="rId2"/>
  </sheets>
  <calcPr calcId="0"/>
</workbook>
</file>

<file path=xl/calcChain.xml><?xml version="1.0" encoding="utf-8"?>
<calcChain xmlns="http://schemas.openxmlformats.org/spreadsheetml/2006/main">
  <c r="F2" i="2" l="1"/>
  <c r="P8" i="1"/>
  <c r="E2" i="2"/>
  <c r="D2" i="2"/>
  <c r="D3" i="2" s="1"/>
  <c r="B2" i="2"/>
  <c r="A2" i="2"/>
</calcChain>
</file>

<file path=xl/sharedStrings.xml><?xml version="1.0" encoding="utf-8"?>
<sst xmlns="http://schemas.openxmlformats.org/spreadsheetml/2006/main" count="20" uniqueCount="20">
  <si>
    <t>Hospital Univeristário Antonio Pedro (Huap-UFF/Ebserh)</t>
  </si>
  <si>
    <t>Plano de Dados Abertos (PDA) 2024-2026</t>
  </si>
  <si>
    <t>Base de dados: Partos e nascimentos</t>
  </si>
  <si>
    <t>Período de referência dos dados: Jan a Dez de 2025</t>
  </si>
  <si>
    <t>Fonte: Ministério da Saúde - Sistema de Informações Hospitalares do SUS (SIH/SUS)</t>
  </si>
  <si>
    <t>Partos e nascimentos</t>
  </si>
  <si>
    <t>Nº de partos normais realizados</t>
  </si>
  <si>
    <t>Nº de partos cesáreos realizados</t>
  </si>
  <si>
    <t>Nome na base de dados, em ordem, conforme DATASUS/TABNET</t>
  </si>
  <si>
    <t>0310010039 PARTO NORMAL</t>
  </si>
  <si>
    <t>0411010034 PARTO CESARIANO</t>
  </si>
  <si>
    <t>0411010042 PARTO CESARIANO C/ LAQUEADURA TUBARIA</t>
  </si>
  <si>
    <t>Partos normais em 2025</t>
  </si>
  <si>
    <t>Partos cesáreos em 2025</t>
  </si>
  <si>
    <t>Percentual de partos normais em relação ao total de partos cesáreos</t>
  </si>
  <si>
    <t>Tipo</t>
  </si>
  <si>
    <t>Normal</t>
  </si>
  <si>
    <t>Cesáreo</t>
  </si>
  <si>
    <t>Quantidade de partos cesáreos maior em relação aos partos normais</t>
  </si>
  <si>
    <t>Diferença entre o mês com mais e menos partos normais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</si>
</sst>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7" fontId="0" fillId="0" borderId="0" xfId="0" applyNumberFormat="1"/>
    <xf numFmtId="10" fontId="0" fillId="0" borderId="0" xfId="1" applyNumberFormat="1" applyFont="1"/>
    <xf numFmtId="10" fontId="0" fillId="0" borderId="0" xfId="1" applyNumberFormat="1" applyFont="1" applyAlignment="1">
      <alignment horizontal="center" vertical="center"/>
    </xf>
    <xf numFmtId="0" fontId="0" fillId="0" borderId="10" xfId="0" applyBorder="1" applyAlignment="1">
      <alignment horizontal="center"/>
    </xf>
    <xf numFmtId="10" fontId="0" fillId="0" borderId="10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0" fontId="0" fillId="0" borderId="10" xfId="0" applyBorder="1"/>
    <xf numFmtId="0" fontId="13" fillId="33" borderId="10" xfId="0" applyFont="1" applyFill="1" applyBorder="1" applyAlignment="1">
      <alignment horizontal="center" vertical="center" wrapText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Partos em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Planilha1!$A$1:$B$1</c:f>
              <c:strCache>
                <c:ptCount val="2"/>
                <c:pt idx="0">
                  <c:v>Partos normais em 2025</c:v>
                </c:pt>
                <c:pt idx="1">
                  <c:v>Partos cesáreos em 2025</c:v>
                </c:pt>
              </c:strCache>
            </c:strRef>
          </c:cat>
          <c:val>
            <c:numRef>
              <c:f>Planilha1!$A$2:$B$2</c:f>
              <c:numCache>
                <c:formatCode>General</c:formatCode>
                <c:ptCount val="2"/>
                <c:pt idx="0">
                  <c:v>519</c:v>
                </c:pt>
                <c:pt idx="1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6-4A36-AAD6-044CA3AEB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9135727"/>
        <c:axId val="1324593791"/>
      </c:barChart>
      <c:catAx>
        <c:axId val="143913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593791"/>
        <c:crosses val="autoZero"/>
        <c:auto val="1"/>
        <c:lblAlgn val="ctr"/>
        <c:lblOffset val="100"/>
        <c:noMultiLvlLbl val="0"/>
      </c:catAx>
      <c:valAx>
        <c:axId val="13245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13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Planilha1!$D$1</c:f>
              <c:strCache>
                <c:ptCount val="1"/>
                <c:pt idx="0">
                  <c:v>Percentual de partos normais em relação ao total de partos cesáreos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Planilha1!$C$2:$C$3</c:f>
              <c:strCache>
                <c:ptCount val="2"/>
                <c:pt idx="0">
                  <c:v>Normal</c:v>
                </c:pt>
                <c:pt idx="1">
                  <c:v>Cesáreo</c:v>
                </c:pt>
              </c:strCache>
            </c:strRef>
          </c:cat>
          <c:val>
            <c:numRef>
              <c:f>Planilha1!$D$2:$D$3</c:f>
              <c:numCache>
                <c:formatCode>0.00%</c:formatCode>
                <c:ptCount val="2"/>
                <c:pt idx="0">
                  <c:v>0.56047516198704106</c:v>
                </c:pt>
                <c:pt idx="1">
                  <c:v>0.43952483801295894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F-4AF1-9852-A25E9819E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PARTO CESARIANO C/ LAQUEADURA TUBARIA em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'2025_04-partos_e_nascimentos_4t'!$A$17</c:f>
              <c:strCache>
                <c:ptCount val="1"/>
                <c:pt idx="0">
                  <c:v>0411010042 PARTO CESARIANO C/ LAQUEADURA TUBARIA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'2025_04-partos_e_nascimentos_4t'!$B$14:$M$14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'2025_04-partos_e_nascimentos_4t'!$B$17:$M$17</c:f>
              <c:numCache>
                <c:formatCode>General</c:formatCode>
                <c:ptCount val="12"/>
                <c:pt idx="0">
                  <c:v>32</c:v>
                </c:pt>
                <c:pt idx="1">
                  <c:v>33</c:v>
                </c:pt>
                <c:pt idx="2">
                  <c:v>24</c:v>
                </c:pt>
                <c:pt idx="3">
                  <c:v>34</c:v>
                </c:pt>
                <c:pt idx="4">
                  <c:v>28</c:v>
                </c:pt>
                <c:pt idx="5">
                  <c:v>18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4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C-4E59-897A-67D3C6A31C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3822351"/>
        <c:axId val="1332640639"/>
      </c:barChart>
      <c:dateAx>
        <c:axId val="13338223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640639"/>
        <c:crosses val="autoZero"/>
        <c:auto val="1"/>
        <c:lblOffset val="100"/>
        <c:baseTimeUnit val="months"/>
      </c:dateAx>
      <c:valAx>
        <c:axId val="13326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38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204787</xdr:colOff>
      <xdr:row>7</xdr:row>
      <xdr:rowOff>161925</xdr:rowOff>
    </xdr:from>
    <xdr:to>
      <xdr:col>5</xdr:col>
      <xdr:colOff>28575</xdr:colOff>
      <xdr:row>22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7AA99A-0B9C-47DA-9382-5130989D5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223837</xdr:colOff>
      <xdr:row>7</xdr:row>
      <xdr:rowOff>142875</xdr:rowOff>
    </xdr:from>
    <xdr:to>
      <xdr:col>10</xdr:col>
      <xdr:colOff>233362</xdr:colOff>
      <xdr:row>22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A51062-23D3-473E-934F-5664E9B49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419100</xdr:colOff>
      <xdr:row>7</xdr:row>
      <xdr:rowOff>152400</xdr:rowOff>
    </xdr:from>
    <xdr:to>
      <xdr:col>18</xdr:col>
      <xdr:colOff>114300</xdr:colOff>
      <xdr:row>22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E404BBD-A55F-4245-84E8-C20D38C23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L24" sqref="L24"/>
    </sheetView>
  </sheetViews>
  <sheetFormatPr defaultRowHeight="15" x14ac:dyDescent="0.25"/>
  <cols>
    <col min="1" max="1" width="76.42578125" bestFit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</row>
    <row r="4" spans="1:16" x14ac:dyDescent="0.25">
      <c r="A4" t="s">
        <v>3</v>
      </c>
    </row>
    <row r="5" spans="1:16" x14ac:dyDescent="0.25">
      <c r="A5" t="s">
        <v>4</v>
      </c>
    </row>
    <row r="8" spans="1:16" x14ac:dyDescent="0.25">
      <c r="A8" t="s">
        <v>5</v>
      </c>
      <c r="B8" s="1">
        <v>45658</v>
      </c>
      <c r="C8" s="1">
        <v>45689</v>
      </c>
      <c r="D8" s="1">
        <v>45717</v>
      </c>
      <c r="E8" s="1">
        <v>45748</v>
      </c>
      <c r="F8" s="1">
        <v>45778</v>
      </c>
      <c r="G8" s="1">
        <v>45809</v>
      </c>
      <c r="H8" s="1">
        <v>45839</v>
      </c>
      <c r="I8" s="1">
        <v>45870</v>
      </c>
      <c r="J8" s="1">
        <v>45901</v>
      </c>
      <c r="K8" s="1">
        <v>45931</v>
      </c>
      <c r="L8" s="1">
        <v>45962</v>
      </c>
      <c r="M8" s="1">
        <v>45992</v>
      </c>
      <c r="P8">
        <f>M10/(M9+M10)</f>
        <v>0.58333333333333337</v>
      </c>
    </row>
    <row r="9" spans="1:16" x14ac:dyDescent="0.25">
      <c r="A9" t="s">
        <v>6</v>
      </c>
      <c r="B9">
        <v>103</v>
      </c>
      <c r="C9">
        <v>88</v>
      </c>
      <c r="D9">
        <v>110</v>
      </c>
      <c r="E9">
        <v>79</v>
      </c>
      <c r="F9">
        <v>82</v>
      </c>
      <c r="G9">
        <v>16</v>
      </c>
      <c r="H9">
        <v>9</v>
      </c>
      <c r="I9">
        <v>3</v>
      </c>
      <c r="J9">
        <v>10</v>
      </c>
      <c r="K9">
        <v>5</v>
      </c>
      <c r="L9">
        <v>4</v>
      </c>
      <c r="M9">
        <v>10</v>
      </c>
    </row>
    <row r="10" spans="1:16" x14ac:dyDescent="0.25">
      <c r="A10" t="s">
        <v>7</v>
      </c>
      <c r="B10">
        <v>76</v>
      </c>
      <c r="C10">
        <v>51</v>
      </c>
      <c r="D10">
        <v>72</v>
      </c>
      <c r="E10">
        <v>52</v>
      </c>
      <c r="F10">
        <v>52</v>
      </c>
      <c r="G10">
        <v>18</v>
      </c>
      <c r="H10">
        <v>23</v>
      </c>
      <c r="I10">
        <v>17</v>
      </c>
      <c r="J10">
        <v>8</v>
      </c>
      <c r="K10">
        <v>13</v>
      </c>
      <c r="L10">
        <v>11</v>
      </c>
      <c r="M10">
        <v>14</v>
      </c>
    </row>
    <row r="14" spans="1:16" x14ac:dyDescent="0.25">
      <c r="A14" t="s">
        <v>8</v>
      </c>
      <c r="B14" s="1">
        <v>45658</v>
      </c>
      <c r="C14" s="1">
        <v>45689</v>
      </c>
      <c r="D14" s="1">
        <v>45717</v>
      </c>
      <c r="E14" s="1">
        <v>45748</v>
      </c>
      <c r="F14" s="1">
        <v>45778</v>
      </c>
      <c r="G14" s="1">
        <v>45809</v>
      </c>
      <c r="H14" s="1">
        <v>45839</v>
      </c>
      <c r="I14" s="1">
        <v>45870</v>
      </c>
      <c r="J14" s="1">
        <v>45901</v>
      </c>
      <c r="K14" s="1">
        <v>45931</v>
      </c>
      <c r="L14" s="1">
        <v>45962</v>
      </c>
      <c r="M14" s="1">
        <v>45992</v>
      </c>
    </row>
    <row r="15" spans="1:16" x14ac:dyDescent="0.25">
      <c r="A15" t="s">
        <v>9</v>
      </c>
      <c r="B15">
        <v>103</v>
      </c>
      <c r="C15">
        <v>88</v>
      </c>
      <c r="D15">
        <v>110</v>
      </c>
      <c r="E15">
        <v>79</v>
      </c>
      <c r="F15">
        <v>82</v>
      </c>
      <c r="G15">
        <v>16</v>
      </c>
      <c r="H15">
        <v>9</v>
      </c>
      <c r="I15">
        <v>3</v>
      </c>
      <c r="J15">
        <v>10</v>
      </c>
      <c r="K15">
        <v>5</v>
      </c>
      <c r="L15">
        <v>4</v>
      </c>
      <c r="M15">
        <v>10</v>
      </c>
    </row>
    <row r="16" spans="1:16" x14ac:dyDescent="0.25">
      <c r="A16" t="s">
        <v>10</v>
      </c>
      <c r="B16">
        <v>76</v>
      </c>
      <c r="C16">
        <v>51</v>
      </c>
      <c r="D16">
        <v>72</v>
      </c>
      <c r="E16">
        <v>52</v>
      </c>
      <c r="F16">
        <v>52</v>
      </c>
      <c r="G16">
        <v>18</v>
      </c>
      <c r="H16">
        <v>23</v>
      </c>
      <c r="I16">
        <v>17</v>
      </c>
      <c r="J16">
        <v>8</v>
      </c>
      <c r="K16">
        <v>13</v>
      </c>
      <c r="L16">
        <v>11</v>
      </c>
      <c r="M16">
        <v>14</v>
      </c>
    </row>
    <row r="17" spans="1:13" x14ac:dyDescent="0.25">
      <c r="A17" t="s">
        <v>11</v>
      </c>
      <c r="B17">
        <v>32</v>
      </c>
      <c r="C17">
        <v>33</v>
      </c>
      <c r="D17">
        <v>24</v>
      </c>
      <c r="E17">
        <v>34</v>
      </c>
      <c r="F17">
        <v>28</v>
      </c>
      <c r="G17">
        <v>18</v>
      </c>
      <c r="H17">
        <v>9</v>
      </c>
      <c r="I17">
        <v>7</v>
      </c>
      <c r="J17">
        <v>8</v>
      </c>
      <c r="K17">
        <v>4</v>
      </c>
      <c r="L17">
        <v>6</v>
      </c>
      <c r="M17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showGridLines="0" tabSelected="1" workbookViewId="0">
      <selection activeCell="Q7" sqref="Q7"/>
    </sheetView>
  </sheetViews>
  <sheetFormatPr defaultRowHeight="15" x14ac:dyDescent="0.25"/>
  <cols>
    <col min="1" max="1" width="16.5703125" customWidth="1"/>
    <col min="2" max="3" width="17.28515625" customWidth="1"/>
    <col min="4" max="4" width="23" customWidth="1"/>
    <col min="5" max="5" width="22.7109375" customWidth="1"/>
    <col min="6" max="6" width="25.28515625" customWidth="1"/>
  </cols>
  <sheetData>
    <row r="1" spans="1:6" ht="65.25" customHeight="1" x14ac:dyDescent="0.25">
      <c r="A1" s="9" t="s">
        <v>12</v>
      </c>
      <c r="B1" s="9" t="s">
        <v>13</v>
      </c>
      <c r="C1" s="9" t="s">
        <v>15</v>
      </c>
      <c r="D1" s="9" t="s">
        <v>14</v>
      </c>
      <c r="E1" s="9" t="s">
        <v>19</v>
      </c>
      <c r="F1" s="9" t="s">
        <v>18</v>
      </c>
    </row>
    <row r="2" spans="1:6" x14ac:dyDescent="0.25">
      <c r="A2" s="4">
        <f>SUM('2025_04-partos_e_nascimentos_4t'!B15:M15)</f>
        <v>519</v>
      </c>
      <c r="B2" s="4">
        <f>SUM('2025_04-partos_e_nascimentos_4t'!B16:M16)</f>
        <v>407</v>
      </c>
      <c r="C2" s="4" t="s">
        <v>16</v>
      </c>
      <c r="D2" s="5">
        <f>SUM('2025_04-partos_e_nascimentos_4t'!B9:M9)/(SUM('2025_04-partos_e_nascimentos_4t'!B9:M9)+SUM('2025_04-partos_e_nascimentos_4t'!B10:M10))</f>
        <v>0.56047516198704106</v>
      </c>
      <c r="E2" s="6">
        <f>MAX('2025_04-partos_e_nascimentos_4t'!B9:M9)-MIN('2025_04-partos_e_nascimentos_4t'!B9:M9)</f>
        <v>107</v>
      </c>
      <c r="F2" s="7" t="str">
        <f>'2025_04-partos_e_nascimentos_4t'!I10/('2025_04-partos_e_nascimentos_4t'!I9+'2025_04-partos_e_nascimentos_4t'!I10)&amp;" - Agosto"</f>
        <v>0,85 - Agosto</v>
      </c>
    </row>
    <row r="3" spans="1:6" x14ac:dyDescent="0.25">
      <c r="A3" s="8"/>
      <c r="B3" s="8"/>
      <c r="C3" s="6" t="s">
        <v>17</v>
      </c>
      <c r="D3" s="5">
        <f>100%-D2</f>
        <v>0.43952483801295894</v>
      </c>
      <c r="E3" s="8"/>
      <c r="F3" s="8"/>
    </row>
    <row r="4" spans="1:6" x14ac:dyDescent="0.25">
      <c r="A4" s="3"/>
      <c r="B4" s="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2025_04-partos_e_nascimentos_4t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2026-09-11T00:11:20Z</dcterms:created>
  <dcterms:modified xsi:type="dcterms:W3CDTF">2026-09-11T00:17:55Z</dcterms:modified>
</cp:coreProperties>
</file>